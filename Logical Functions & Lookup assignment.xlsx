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C9FF4A5-D5C0-4A79-AC51-694322ABBA57}" xr6:coauthVersionLast="47" xr6:coauthVersionMax="47" xr10:uidLastSave="{00000000-0000-0000-0000-000000000000}"/>
  <bookViews>
    <workbookView xWindow="28680" yWindow="-120" windowWidth="29040" windowHeight="15720" activeTab="5" xr2:uid="{83FD831D-F246-4F14-BD51-F4F7F4AC40A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2" i="2"/>
  <c r="E2" i="8"/>
  <c r="E2" i="7"/>
  <c r="E4" i="6"/>
  <c r="E3" i="6"/>
  <c r="E2" i="6"/>
  <c r="D6" i="5"/>
  <c r="F2" i="4"/>
  <c r="D6" i="3"/>
  <c r="D5" i="3"/>
  <c r="D4" i="3"/>
  <c r="D3" i="3"/>
  <c r="D2" i="3"/>
  <c r="D2" i="1"/>
  <c r="D3" i="1"/>
  <c r="D4" i="1"/>
  <c r="D5" i="1"/>
  <c r="D6" i="1"/>
  <c r="F3" i="6"/>
  <c r="F2" i="6"/>
  <c r="E6" i="5"/>
  <c r="F4" i="2"/>
  <c r="F2" i="2"/>
  <c r="E3" i="3"/>
  <c r="E2" i="3"/>
  <c r="E3" i="1"/>
  <c r="F3" i="4"/>
  <c r="F3" i="2"/>
  <c r="E4" i="1"/>
  <c r="E2" i="1"/>
  <c r="E6" i="3"/>
  <c r="F2" i="8"/>
  <c r="E5" i="3"/>
  <c r="E3" i="7"/>
  <c r="E4" i="3"/>
  <c r="E5" i="1"/>
  <c r="E6" i="1"/>
  <c r="F5" i="2"/>
  <c r="F4" i="6"/>
</calcChain>
</file>

<file path=xl/sharedStrings.xml><?xml version="1.0" encoding="utf-8"?>
<sst xmlns="http://schemas.openxmlformats.org/spreadsheetml/2006/main" count="86" uniqueCount="62">
  <si>
    <t>Q)1</t>
  </si>
  <si>
    <t>Student Name</t>
  </si>
  <si>
    <t>Marks</t>
  </si>
  <si>
    <t>Ram</t>
  </si>
  <si>
    <t>Rahul</t>
  </si>
  <si>
    <t>Raju</t>
  </si>
  <si>
    <t>Siya</t>
  </si>
  <si>
    <t>Riya</t>
  </si>
  <si>
    <t>Pass/Fail</t>
  </si>
  <si>
    <t>Formula</t>
  </si>
  <si>
    <t>Q)2</t>
  </si>
  <si>
    <t>Arjun</t>
  </si>
  <si>
    <t>Simran</t>
  </si>
  <si>
    <t>Rohit</t>
  </si>
  <si>
    <t>Anjali</t>
  </si>
  <si>
    <t>Employee</t>
  </si>
  <si>
    <t>Sales</t>
  </si>
  <si>
    <t>Attendance</t>
  </si>
  <si>
    <t>Bonus</t>
  </si>
  <si>
    <t>Q)3</t>
  </si>
  <si>
    <t>Raj</t>
  </si>
  <si>
    <t>Neha</t>
  </si>
  <si>
    <t>Vivek</t>
  </si>
  <si>
    <t>Rani</t>
  </si>
  <si>
    <t>Sneha</t>
  </si>
  <si>
    <t>Grades</t>
  </si>
  <si>
    <t>Q)4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</si>
  <si>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</si>
  <si>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</si>
  <si>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</si>
  <si>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</si>
  <si>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</si>
  <si>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</si>
  <si>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</si>
  <si>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</si>
  <si>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</si>
  <si>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</si>
  <si>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</si>
  <si>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</si>
  <si>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Q)5</t>
  </si>
  <si>
    <t>Sales Amount</t>
  </si>
  <si>
    <t>Commission Rate</t>
  </si>
  <si>
    <t xml:space="preserve">Sales achieved = </t>
  </si>
  <si>
    <t>Q)6</t>
  </si>
  <si>
    <t>VLOOKUP is used because the EmpID is in the first column of the table and we want to find the Department from the same row using an exact match.</t>
  </si>
  <si>
    <t>Employee Name</t>
  </si>
  <si>
    <t>Leaves Taken</t>
  </si>
  <si>
    <t>Leaves Allowed</t>
  </si>
  <si>
    <t>Alex</t>
  </si>
  <si>
    <t>Bob</t>
  </si>
  <si>
    <t>Anna</t>
  </si>
  <si>
    <t>Status</t>
  </si>
  <si>
    <t>FORMULA</t>
  </si>
  <si>
    <t>Q)7</t>
  </si>
  <si>
    <t>Salary</t>
  </si>
  <si>
    <t>E105</t>
  </si>
  <si>
    <t>E106</t>
  </si>
  <si>
    <t>EMPID</t>
  </si>
  <si>
    <t>SALARY</t>
  </si>
  <si>
    <t>Q)8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</si>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</sst>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9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9" fontId="2" fillId="0" borderId="0" xfId="1" applyFont="1"/>
  </cellXfs>
  <cellStyles count="2">
    <cellStyle name="Normal" xfId="0" builtinId="0"/>
    <cellStyle name="Percent" xfId="1" builtinId="5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BC387-4712-4DF4-AC7B-EEAD159905D2}" name="Table1" displayName="Table1" ref="B1:E6" totalsRowShown="0" headerRowDxfId="25" dataDxfId="24">
  <autoFilter ref="B1:E6" xr:uid="{433BC387-4712-4DF4-AC7B-EEAD159905D2}"/>
  <tableColumns count="4">
    <tableColumn id="1" xr3:uid="{2C08FB92-9A61-4607-BFEF-2C9A63ACCED8}" name="Student Name" dataDxfId="23"/>
    <tableColumn id="2" xr3:uid="{C2B1C1AE-63EE-49B6-93D8-642FBF5BD225}" name="Marks" dataDxfId="22"/>
    <tableColumn id="3" xr3:uid="{D95A51E2-0316-4F5B-A2DC-B84AFBB33D9B}" name="Pass/Fail" dataDxfId="21">
      <calculatedColumnFormula>IF(C2&gt;=40,"Pass","Fail")</calculatedColumnFormula>
    </tableColumn>
    <tableColumn id="4" xr3:uid="{E68C8880-B989-43F1-8D3C-6131164C556B}" name="Formula" dataDxfId="20">
      <calculatedColumnFormula>_xlfn.FORMULATEXT(Table1[[#This Row],[Pass/Fail]])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A1EF14-5E05-4DB4-9361-A73111485827}" name="Table25" displayName="Table25" ref="B1:F5" totalsRowShown="0" headerRowDxfId="19" dataDxfId="18">
  <autoFilter ref="B1:F5" xr:uid="{F9A1EF14-5E05-4DB4-9361-A73111485827}"/>
  <tableColumns count="5">
    <tableColumn id="1" xr3:uid="{CA497A73-5AA9-4503-A852-B1B3BE6ED60C}" name="Employee" dataDxfId="17"/>
    <tableColumn id="2" xr3:uid="{6AF0C777-C534-4FE8-9070-34CC2EC02FAC}" name="Sales" dataDxfId="16"/>
    <tableColumn id="3" xr3:uid="{114B4E74-2054-4AAC-8B71-DC3BC715534E}" name="Attendance" dataDxfId="15"/>
    <tableColumn id="4" xr3:uid="{72152C23-861E-4ECB-913E-DB1EE12CE4C3}" name="Bonus" dataDxfId="14">
      <calculatedColumnFormula>IF(AND(C2&gt;40000,D2&gt;=90),"Eligible for Bonus","Not Eligible for Bonus")</calculatedColumnFormula>
    </tableColumn>
    <tableColumn id="5" xr3:uid="{D6EF10F4-68B3-45E2-BB82-3A26E790C41F}" name="Formula" dataDxfId="13">
      <calculatedColumnFormula>_xlfn.FORMULATEXT(Table25[[#This Row],[Bonus]])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58B0C8-B9E7-4693-A887-6D7E0BA02BDE}" name="Table37" displayName="Table37" ref="B1:E6" totalsRowShown="0" headerRowDxfId="12" dataDxfId="11">
  <autoFilter ref="B1:E6" xr:uid="{3358B0C8-B9E7-4693-A887-6D7E0BA02BDE}"/>
  <tableColumns count="4">
    <tableColumn id="1" xr3:uid="{FAAEE2A8-6199-42F6-BEFC-0F2B4C0AB74F}" name="Student Name" dataDxfId="10"/>
    <tableColumn id="2" xr3:uid="{2251C8C2-9A5E-41F7-9F7B-74D62A43F599}" name="Marks" dataDxfId="9"/>
    <tableColumn id="3" xr3:uid="{272DCD76-159D-4000-82F7-3DC63BE81881}" name="Grades" dataDxfId="8">
      <calculatedColumnFormula>IF(C2&gt;=90,"A",IF(C2&gt;=75,"B",IF(C2&gt;=50,"C","Fail")))</calculatedColumnFormula>
    </tableColumn>
    <tableColumn id="4" xr3:uid="{72EDFFA9-15F6-4D93-AF84-986B5CA99E45}" name="Formula" dataDxfId="7">
      <calculatedColumnFormula>_xlfn.FORMULATEXT(Table37[[#This Row],[Grades]])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6F86E9-B730-4386-928B-727BC5EEF28D}" name="Table58" displayName="Table58" ref="B1:F4" totalsRowShown="0" headerRowDxfId="6" dataDxfId="5">
  <autoFilter ref="B1:F4" xr:uid="{C66F86E9-B730-4386-928B-727BC5EEF28D}"/>
  <tableColumns count="5">
    <tableColumn id="1" xr3:uid="{E55A83F6-36FD-4B9C-8519-E782D3352571}" name="Employee Name" dataDxfId="4"/>
    <tableColumn id="2" xr3:uid="{168ECF2A-8F3D-44E6-A5D9-C6778AE005B3}" name="Leaves Taken" dataDxfId="3"/>
    <tableColumn id="3" xr3:uid="{BB4BE704-BAAA-4106-91AA-DA524C5C04FD}" name="Leaves Allowed" dataDxfId="2"/>
    <tableColumn id="4" xr3:uid="{EAC01739-F582-45A1-A6CF-234347AB425C}" name="Status" dataDxfId="1">
      <calculatedColumnFormula>IF(C2&gt;D2,"Exceeded","OK")</calculatedColumnFormula>
    </tableColumn>
    <tableColumn id="5" xr3:uid="{5F23A0C2-6892-4DC2-9BF0-109C3EB1E2F6}" name="FORMULA" dataDxfId="0">
      <calculatedColumnFormula>_xlfn.FORMULATEXT(E2)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B53D-67F7-46A7-A3E8-E2EDB49810D5}">
  <dimension ref="A1:F49"/>
  <sheetViews>
    <sheetView workbookViewId="0">
      <selection activeCell="E11" sqref="E11"/>
    </sheetView>
  </sheetViews>
  <sheetFormatPr defaultRowHeight="14.5" x14ac:dyDescent="0.35"/>
  <cols>
    <col min="2" max="2" width="21.453125" bestFit="1" customWidth="1"/>
    <col min="3" max="3" width="17.6328125" customWidth="1"/>
    <col min="4" max="4" width="18.453125" bestFit="1" customWidth="1"/>
    <col min="5" max="5" width="49.36328125" bestFit="1" customWidth="1"/>
    <col min="6" max="6" width="50.36328125" bestFit="1" customWidth="1"/>
  </cols>
  <sheetData>
    <row r="1" spans="1:6" x14ac:dyDescent="0.35">
      <c r="A1" s="3" t="s">
        <v>0</v>
      </c>
      <c r="B1" s="1" t="s">
        <v>1</v>
      </c>
      <c r="C1" s="1" t="s">
        <v>2</v>
      </c>
      <c r="D1" s="2" t="s">
        <v>8</v>
      </c>
      <c r="E1" s="2" t="s">
        <v>9</v>
      </c>
    </row>
    <row r="2" spans="1:6" x14ac:dyDescent="0.35">
      <c r="B2" s="1" t="s">
        <v>7</v>
      </c>
      <c r="C2" s="1">
        <v>45</v>
      </c>
      <c r="D2" s="2" t="str">
        <f t="shared" ref="D2:D6" si="0">IF(C2&gt;=40,"Pass","Fail")</f>
        <v>Pass</v>
      </c>
      <c r="E2" s="2" t="str">
        <f ca="1">_xlfn.FORMULATEXT(Table1[[#This Row],[Pass/Fail]])</f>
        <v>=IF(C2&gt;=40,"Pass","Fail")</v>
      </c>
    </row>
    <row r="3" spans="1:6" x14ac:dyDescent="0.35">
      <c r="B3" s="1" t="s">
        <v>6</v>
      </c>
      <c r="C3" s="1">
        <v>72</v>
      </c>
      <c r="D3" s="2" t="str">
        <f t="shared" si="0"/>
        <v>Pass</v>
      </c>
      <c r="E3" s="2" t="str">
        <f ca="1">_xlfn.FORMULATEXT(Table1[[#This Row],[Pass/Fail]])</f>
        <v>=IF(C3&gt;=40,"Pass","Fail")</v>
      </c>
    </row>
    <row r="4" spans="1:6" x14ac:dyDescent="0.35">
      <c r="B4" s="1" t="s">
        <v>5</v>
      </c>
      <c r="C4" s="1">
        <v>55</v>
      </c>
      <c r="D4" s="2" t="str">
        <f t="shared" si="0"/>
        <v>Pass</v>
      </c>
      <c r="E4" s="2" t="str">
        <f ca="1">_xlfn.FORMULATEXT(Table1[[#This Row],[Pass/Fail]])</f>
        <v>=IF(C4&gt;=40,"Pass","Fail")</v>
      </c>
    </row>
    <row r="5" spans="1:6" x14ac:dyDescent="0.35">
      <c r="B5" s="1" t="s">
        <v>4</v>
      </c>
      <c r="C5" s="1">
        <v>80</v>
      </c>
      <c r="D5" s="2" t="str">
        <f t="shared" si="0"/>
        <v>Pass</v>
      </c>
      <c r="E5" s="2" t="str">
        <f ca="1">_xlfn.FORMULATEXT(Table1[[#This Row],[Pass/Fail]])</f>
        <v>=IF(C5&gt;=40,"Pass","Fail")</v>
      </c>
    </row>
    <row r="6" spans="1:6" x14ac:dyDescent="0.35">
      <c r="B6" s="1" t="s">
        <v>3</v>
      </c>
      <c r="C6" s="1">
        <v>30</v>
      </c>
      <c r="D6" s="2" t="str">
        <f t="shared" si="0"/>
        <v>Fail</v>
      </c>
      <c r="E6" s="2" t="str">
        <f ca="1">_xlfn.FORMULATEXT(Table1[[#This Row],[Pass/Fail]])</f>
        <v>=IF(C6&gt;=40,"Pass","Fail")</v>
      </c>
    </row>
    <row r="8" spans="1:6" x14ac:dyDescent="0.35">
      <c r="A8" s="3"/>
      <c r="B8" s="1"/>
      <c r="C8" s="1"/>
      <c r="D8" s="1"/>
      <c r="E8" s="2"/>
      <c r="F8" s="2"/>
    </row>
    <row r="9" spans="1:6" x14ac:dyDescent="0.35">
      <c r="B9" s="1"/>
      <c r="C9" s="1"/>
      <c r="D9" s="1"/>
      <c r="E9" s="2"/>
      <c r="F9" s="2"/>
    </row>
    <row r="10" spans="1:6" x14ac:dyDescent="0.35">
      <c r="B10" s="1"/>
      <c r="C10" s="1"/>
      <c r="D10" s="1"/>
      <c r="E10" s="2"/>
      <c r="F10" s="2"/>
    </row>
    <row r="11" spans="1:6" x14ac:dyDescent="0.35">
      <c r="B11" s="1"/>
      <c r="C11" s="1"/>
      <c r="D11" s="1"/>
      <c r="E11" s="2"/>
      <c r="F11" s="2"/>
    </row>
    <row r="12" spans="1:6" x14ac:dyDescent="0.35">
      <c r="B12" s="1"/>
      <c r="C12" s="1"/>
      <c r="D12" s="1"/>
      <c r="E12" s="2"/>
      <c r="F12" s="2"/>
    </row>
    <row r="14" spans="1:6" x14ac:dyDescent="0.35">
      <c r="A14" s="3"/>
      <c r="B14" s="1"/>
      <c r="C14" s="1"/>
      <c r="D14" s="2"/>
      <c r="E14" s="2"/>
    </row>
    <row r="15" spans="1:6" x14ac:dyDescent="0.35">
      <c r="B15" s="1"/>
      <c r="C15" s="1"/>
      <c r="D15" s="2"/>
      <c r="E15" s="2"/>
    </row>
    <row r="16" spans="1:6" x14ac:dyDescent="0.35">
      <c r="B16" s="1"/>
      <c r="C16" s="1"/>
      <c r="D16" s="2"/>
      <c r="E16" s="2"/>
    </row>
    <row r="17" spans="1:6" x14ac:dyDescent="0.35">
      <c r="B17" s="1"/>
      <c r="C17" s="1"/>
      <c r="D17" s="2"/>
      <c r="E17" s="2"/>
    </row>
    <row r="18" spans="1:6" x14ac:dyDescent="0.35">
      <c r="B18" s="1"/>
      <c r="C18" s="1"/>
      <c r="D18" s="2"/>
      <c r="E18" s="2"/>
    </row>
    <row r="19" spans="1:6" x14ac:dyDescent="0.35">
      <c r="B19" s="1"/>
      <c r="C19" s="1"/>
      <c r="D19" s="2"/>
      <c r="E19" s="2"/>
    </row>
    <row r="21" spans="1:6" x14ac:dyDescent="0.35">
      <c r="A21" s="3"/>
      <c r="B21" s="5"/>
      <c r="C21" s="5"/>
      <c r="D21" s="5"/>
      <c r="E21" s="4"/>
      <c r="F21" s="4"/>
    </row>
    <row r="22" spans="1:6" x14ac:dyDescent="0.35">
      <c r="B22" s="5"/>
      <c r="C22" s="5"/>
      <c r="D22" s="5"/>
      <c r="E22" s="4"/>
      <c r="F22" s="2"/>
    </row>
    <row r="23" spans="1:6" x14ac:dyDescent="0.35">
      <c r="B23" s="5"/>
      <c r="C23" s="5"/>
      <c r="D23" s="5"/>
      <c r="F23" s="2"/>
    </row>
    <row r="24" spans="1:6" x14ac:dyDescent="0.35">
      <c r="B24" s="5"/>
      <c r="C24" s="5"/>
      <c r="D24" s="5"/>
      <c r="E24" s="6"/>
      <c r="F24" s="6"/>
    </row>
    <row r="25" spans="1:6" x14ac:dyDescent="0.35">
      <c r="B25" s="5"/>
      <c r="C25" s="5"/>
      <c r="D25" s="5"/>
    </row>
    <row r="27" spans="1:6" x14ac:dyDescent="0.35">
      <c r="A27" s="3"/>
      <c r="B27" s="5"/>
      <c r="C27" s="5"/>
    </row>
    <row r="28" spans="1:6" x14ac:dyDescent="0.35">
      <c r="B28" s="5"/>
      <c r="C28" s="7"/>
    </row>
    <row r="29" spans="1:6" x14ac:dyDescent="0.35">
      <c r="B29" s="8"/>
      <c r="C29" s="7"/>
    </row>
    <row r="30" spans="1:6" x14ac:dyDescent="0.35">
      <c r="B30" s="8"/>
      <c r="C30" s="7"/>
    </row>
    <row r="31" spans="1:6" x14ac:dyDescent="0.35">
      <c r="B31" s="8"/>
      <c r="C31" s="7"/>
    </row>
    <row r="32" spans="1:6" x14ac:dyDescent="0.35">
      <c r="B32" s="3"/>
      <c r="C32" s="9"/>
      <c r="D32" s="10"/>
      <c r="E32" s="6"/>
    </row>
    <row r="34" spans="1:6" x14ac:dyDescent="0.35">
      <c r="A34" s="3"/>
      <c r="B34" s="5"/>
      <c r="C34" s="5"/>
      <c r="D34" s="5"/>
      <c r="E34" s="2"/>
      <c r="F34" s="4"/>
    </row>
    <row r="35" spans="1:6" x14ac:dyDescent="0.35">
      <c r="B35" s="5"/>
      <c r="C35" s="5"/>
      <c r="D35" s="5"/>
      <c r="E35" s="2"/>
      <c r="F35" s="6"/>
    </row>
    <row r="36" spans="1:6" x14ac:dyDescent="0.35">
      <c r="B36" s="5"/>
      <c r="C36" s="5"/>
      <c r="D36" s="5"/>
      <c r="E36" s="2"/>
      <c r="F36" s="6"/>
    </row>
    <row r="37" spans="1:6" x14ac:dyDescent="0.35">
      <c r="B37" s="5"/>
      <c r="C37" s="5"/>
      <c r="D37" s="5"/>
      <c r="E37" s="2"/>
      <c r="F37" s="6"/>
    </row>
    <row r="39" spans="1:6" x14ac:dyDescent="0.35">
      <c r="A39" s="3"/>
      <c r="B39" s="5"/>
      <c r="C39" s="5"/>
      <c r="D39" s="2"/>
      <c r="E39" s="2"/>
    </row>
    <row r="40" spans="1:6" x14ac:dyDescent="0.35">
      <c r="B40" s="5"/>
      <c r="C40" s="5"/>
      <c r="D40" s="2"/>
      <c r="E40" s="2"/>
    </row>
    <row r="41" spans="1:6" x14ac:dyDescent="0.35">
      <c r="B41" s="5"/>
      <c r="C41" s="5"/>
      <c r="D41" s="2"/>
      <c r="E41" s="2"/>
    </row>
    <row r="42" spans="1:6" x14ac:dyDescent="0.35">
      <c r="B42" s="5"/>
      <c r="C42" s="5"/>
    </row>
    <row r="43" spans="1:6" x14ac:dyDescent="0.35">
      <c r="B43" s="5"/>
      <c r="C43" s="5"/>
    </row>
    <row r="45" spans="1:6" x14ac:dyDescent="0.35">
      <c r="A45" s="3"/>
      <c r="B45" s="5"/>
      <c r="C45" s="5"/>
      <c r="D45" s="1"/>
    </row>
    <row r="46" spans="1:6" x14ac:dyDescent="0.35">
      <c r="B46" s="5"/>
      <c r="C46" s="5"/>
    </row>
    <row r="47" spans="1:6" x14ac:dyDescent="0.35">
      <c r="B47" s="5"/>
      <c r="C47" s="5"/>
    </row>
    <row r="48" spans="1:6" x14ac:dyDescent="0.35">
      <c r="B48" s="5"/>
      <c r="C48" s="5"/>
    </row>
    <row r="49" spans="2:3" x14ac:dyDescent="0.35">
      <c r="B49" s="5"/>
      <c r="C49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BCF6-52E1-4A1F-9AE3-FBB7149D5274}">
  <dimension ref="A1:F5"/>
  <sheetViews>
    <sheetView workbookViewId="0">
      <selection activeCell="E5" sqref="E5"/>
    </sheetView>
  </sheetViews>
  <sheetFormatPr defaultRowHeight="14.5" x14ac:dyDescent="0.35"/>
  <cols>
    <col min="1" max="1" width="4" bestFit="1" customWidth="1"/>
    <col min="2" max="2" width="13.81640625" bestFit="1" customWidth="1"/>
    <col min="3" max="3" width="9.6328125" bestFit="1" customWidth="1"/>
    <col min="4" max="4" width="15.1796875" bestFit="1" customWidth="1"/>
    <col min="5" max="5" width="19.1796875" bestFit="1" customWidth="1"/>
    <col min="6" max="6" width="63.36328125" bestFit="1" customWidth="1"/>
  </cols>
  <sheetData>
    <row r="1" spans="1:6" x14ac:dyDescent="0.35">
      <c r="A1" s="3" t="s">
        <v>10</v>
      </c>
      <c r="B1" s="1" t="s">
        <v>15</v>
      </c>
      <c r="C1" s="1" t="s">
        <v>16</v>
      </c>
      <c r="D1" s="1" t="s">
        <v>17</v>
      </c>
      <c r="E1" s="2" t="s">
        <v>18</v>
      </c>
      <c r="F1" s="2" t="s">
        <v>9</v>
      </c>
    </row>
    <row r="2" spans="1:6" x14ac:dyDescent="0.35">
      <c r="B2" s="1" t="s">
        <v>11</v>
      </c>
      <c r="C2" s="1">
        <v>55000</v>
      </c>
      <c r="D2" s="1">
        <v>95</v>
      </c>
      <c r="E2" s="2" t="str">
        <f t="shared" ref="E2:E5" si="0">IF(AND(C2&gt;40000,D2&gt;=90),"Eligible for Bonus","Not Eligible for Bonus")</f>
        <v>Eligible for Bonus</v>
      </c>
      <c r="F2" s="2" t="str">
        <f ca="1">_xlfn.FORMULATEXT(Table25[[#This Row],[Bonus]])</f>
        <v>=IF(AND(C2&gt;40000,D2&gt;=90),"Eligible for Bonus","Not Eligible for Bonus")</v>
      </c>
    </row>
    <row r="3" spans="1:6" x14ac:dyDescent="0.35">
      <c r="B3" s="1" t="s">
        <v>12</v>
      </c>
      <c r="C3" s="1">
        <v>65000</v>
      </c>
      <c r="D3" s="1">
        <v>85</v>
      </c>
      <c r="E3" s="2" t="str">
        <f t="shared" si="0"/>
        <v>Not Eligible for Bonus</v>
      </c>
      <c r="F3" s="2" t="str">
        <f ca="1">_xlfn.FORMULATEXT(Table25[[#This Row],[Bonus]])</f>
        <v>=IF(AND(C3&gt;40000,D3&gt;=90),"Eligible for Bonus","Not Eligible for Bonus")</v>
      </c>
    </row>
    <row r="4" spans="1:6" x14ac:dyDescent="0.35">
      <c r="B4" s="1" t="s">
        <v>13</v>
      </c>
      <c r="C4" s="1">
        <v>30000</v>
      </c>
      <c r="D4" s="1">
        <v>90</v>
      </c>
      <c r="E4" s="2" t="str">
        <f t="shared" si="0"/>
        <v>Not Eligible for Bonus</v>
      </c>
      <c r="F4" s="2" t="str">
        <f ca="1">_xlfn.FORMULATEXT(Table25[[#This Row],[Bonus]])</f>
        <v>=IF(AND(C4&gt;40000,D4&gt;=90),"Eligible for Bonus","Not Eligible for Bonus")</v>
      </c>
    </row>
    <row r="5" spans="1:6" x14ac:dyDescent="0.35">
      <c r="B5" s="1" t="s">
        <v>14</v>
      </c>
      <c r="C5" s="1">
        <v>25000</v>
      </c>
      <c r="D5" s="1">
        <v>65</v>
      </c>
      <c r="E5" s="2" t="str">
        <f t="shared" si="0"/>
        <v>Not Eligible for Bonus</v>
      </c>
      <c r="F5" s="2" t="str">
        <f ca="1">_xlfn.FORMULATEXT(Table25[[#This Row],[Bonus]])</f>
        <v>=IF(AND(C5&gt;40000,D5&gt;=90),"Eligible for Bonus","Not Eligible for Bonus")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50C6-F72E-4C4D-A70F-A90E0CC396E0}">
  <dimension ref="A1:E6"/>
  <sheetViews>
    <sheetView workbookViewId="0">
      <selection activeCell="E9" sqref="E9"/>
    </sheetView>
  </sheetViews>
  <sheetFormatPr defaultRowHeight="14.5" x14ac:dyDescent="0.35"/>
  <cols>
    <col min="2" max="2" width="17.6328125" bestFit="1" customWidth="1"/>
    <col min="3" max="3" width="10.6328125" bestFit="1" customWidth="1"/>
    <col min="4" max="4" width="11.1796875" bestFit="1" customWidth="1"/>
    <col min="5" max="5" width="46.36328125" bestFit="1" customWidth="1"/>
  </cols>
  <sheetData>
    <row r="1" spans="1:5" x14ac:dyDescent="0.35">
      <c r="A1" s="3" t="s">
        <v>19</v>
      </c>
      <c r="B1" s="1" t="s">
        <v>1</v>
      </c>
      <c r="C1" s="1" t="s">
        <v>2</v>
      </c>
      <c r="D1" s="2" t="s">
        <v>25</v>
      </c>
      <c r="E1" s="2" t="s">
        <v>9</v>
      </c>
    </row>
    <row r="2" spans="1:5" x14ac:dyDescent="0.35">
      <c r="B2" s="1" t="s">
        <v>20</v>
      </c>
      <c r="C2" s="1">
        <v>85</v>
      </c>
      <c r="D2" s="2" t="str">
        <f t="shared" ref="D2:D6" si="0">IF(C2&gt;=90,"A",IF(C2&gt;=75,"B",IF(C2&gt;=50,"C","Fail")))</f>
        <v>B</v>
      </c>
      <c r="E2" s="2" t="str">
        <f ca="1">_xlfn.FORMULATEXT(Table37[[#This Row],[Grades]])</f>
        <v>=IF(C2&gt;=90,"A",IF(C2&gt;=75,"B",IF(C2&gt;=50,"C","Fail")))</v>
      </c>
    </row>
    <row r="3" spans="1:5" x14ac:dyDescent="0.35">
      <c r="B3" s="1" t="s">
        <v>21</v>
      </c>
      <c r="C3" s="1">
        <v>96</v>
      </c>
      <c r="D3" s="2" t="str">
        <f t="shared" si="0"/>
        <v>A</v>
      </c>
      <c r="E3" s="2" t="str">
        <f ca="1">_xlfn.FORMULATEXT(Table37[[#This Row],[Grades]])</f>
        <v>=IF(C3&gt;=90,"A",IF(C3&gt;=75,"B",IF(C3&gt;=50,"C","Fail")))</v>
      </c>
    </row>
    <row r="4" spans="1:5" x14ac:dyDescent="0.35">
      <c r="B4" s="1" t="s">
        <v>22</v>
      </c>
      <c r="C4" s="1">
        <v>57</v>
      </c>
      <c r="D4" s="2" t="str">
        <f t="shared" si="0"/>
        <v>C</v>
      </c>
      <c r="E4" s="2" t="str">
        <f ca="1">_xlfn.FORMULATEXT(Table37[[#This Row],[Grades]])</f>
        <v>=IF(C4&gt;=90,"A",IF(C4&gt;=75,"B",IF(C4&gt;=50,"C","Fail")))</v>
      </c>
    </row>
    <row r="5" spans="1:5" x14ac:dyDescent="0.35">
      <c r="B5" s="1" t="s">
        <v>23</v>
      </c>
      <c r="C5" s="1">
        <v>92</v>
      </c>
      <c r="D5" s="2" t="str">
        <f t="shared" si="0"/>
        <v>A</v>
      </c>
      <c r="E5" s="2" t="str">
        <f ca="1">_xlfn.FORMULATEXT(Table37[[#This Row],[Grades]])</f>
        <v>=IF(C5&gt;=90,"A",IF(C5&gt;=75,"B",IF(C5&gt;=50,"C","Fail")))</v>
      </c>
    </row>
    <row r="6" spans="1:5" x14ac:dyDescent="0.35">
      <c r="B6" s="1" t="s">
        <v>24</v>
      </c>
      <c r="C6" s="1">
        <v>75</v>
      </c>
      <c r="D6" s="2" t="str">
        <f t="shared" si="0"/>
        <v>B</v>
      </c>
      <c r="E6" s="2" t="str">
        <f ca="1">_xlfn.FORMULATEXT(Table37[[#This Row],[Grades]])</f>
        <v>=IF(C6&gt;=90,"A",IF(C6&gt;=75,"B",IF(C6&gt;=50,"C","Fail")))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B7BC-C12B-4F77-9052-6DF4C43E2D5F}">
  <dimension ref="A1:F5"/>
  <sheetViews>
    <sheetView workbookViewId="0">
      <selection activeCell="F3" sqref="F3"/>
    </sheetView>
  </sheetViews>
  <sheetFormatPr defaultRowHeight="14.5" x14ac:dyDescent="0.35"/>
  <cols>
    <col min="2" max="2" width="6.36328125" bestFit="1" customWidth="1"/>
    <col min="3" max="3" width="6.453125" bestFit="1" customWidth="1"/>
    <col min="4" max="4" width="12.54296875" customWidth="1"/>
    <col min="5" max="5" width="128.6328125" bestFit="1" customWidth="1"/>
    <col min="6" max="6" width="26.6328125" bestFit="1" customWidth="1"/>
  </cols>
  <sheetData>
    <row r="1" spans="1:6" x14ac:dyDescent="0.35">
      <c r="A1" s="3" t="s">
        <v>26</v>
      </c>
      <c r="B1" s="5" t="s">
        <v>27</v>
      </c>
      <c r="C1" s="5" t="s">
        <v>28</v>
      </c>
      <c r="D1" s="5" t="s">
        <v>29</v>
      </c>
      <c r="E1" s="4" t="s">
        <v>27</v>
      </c>
      <c r="F1" s="4" t="s">
        <v>29</v>
      </c>
    </row>
    <row r="2" spans="1:6" x14ac:dyDescent="0.35">
      <c r="B2" s="5" t="s">
        <v>30</v>
      </c>
      <c r="C2" s="5" t="s">
        <v>5</v>
      </c>
      <c r="D2" s="5" t="s">
        <v>31</v>
      </c>
      <c r="E2" s="4" t="s">
        <v>34</v>
      </c>
      <c r="F2" s="2" t="str">
        <f>VLOOKUP(E2,B2:D5,3,FALSE)</f>
        <v>Finance</v>
      </c>
    </row>
    <row r="3" spans="1:6" x14ac:dyDescent="0.35">
      <c r="B3" s="5" t="s">
        <v>32</v>
      </c>
      <c r="C3" s="5" t="s">
        <v>7</v>
      </c>
      <c r="D3" s="5" t="s">
        <v>33</v>
      </c>
      <c r="F3" s="2" t="str">
        <f ca="1">_xlfn.FORMULATEXT(F2)</f>
        <v>=VLOOKUP(E2,B2:D5,3,FALSE)</v>
      </c>
    </row>
    <row r="4" spans="1:6" x14ac:dyDescent="0.35">
      <c r="B4" s="5" t="s">
        <v>34</v>
      </c>
      <c r="C4" s="5" t="s">
        <v>35</v>
      </c>
      <c r="D4" s="5" t="s">
        <v>36</v>
      </c>
      <c r="E4" s="6" t="s">
        <v>44</v>
      </c>
      <c r="F4" s="6"/>
    </row>
    <row r="5" spans="1:6" x14ac:dyDescent="0.35">
      <c r="B5" s="5" t="s">
        <v>37</v>
      </c>
      <c r="C5" s="5" t="s">
        <v>38</v>
      </c>
      <c r="D5" s="5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883B-3B30-4670-BD3F-59B57BA54FB9}">
  <dimension ref="A1:E6"/>
  <sheetViews>
    <sheetView workbookViewId="0">
      <selection activeCell="D6" sqref="D6"/>
    </sheetView>
  </sheetViews>
  <sheetFormatPr defaultRowHeight="14.5" x14ac:dyDescent="0.35"/>
  <cols>
    <col min="2" max="2" width="15.1796875" bestFit="1" customWidth="1"/>
    <col min="3" max="3" width="26.54296875" customWidth="1"/>
  </cols>
  <sheetData>
    <row r="1" spans="1:5" x14ac:dyDescent="0.35">
      <c r="A1" s="3" t="s">
        <v>39</v>
      </c>
      <c r="B1" s="5" t="s">
        <v>40</v>
      </c>
      <c r="C1" s="5" t="s">
        <v>41</v>
      </c>
    </row>
    <row r="2" spans="1:5" x14ac:dyDescent="0.35">
      <c r="B2" s="5">
        <v>0</v>
      </c>
      <c r="C2" s="7">
        <v>0.05</v>
      </c>
    </row>
    <row r="3" spans="1:5" x14ac:dyDescent="0.35">
      <c r="B3" s="8">
        <v>20000</v>
      </c>
      <c r="C3" s="7">
        <v>0.1</v>
      </c>
    </row>
    <row r="4" spans="1:5" x14ac:dyDescent="0.35">
      <c r="B4" s="8">
        <v>50000</v>
      </c>
      <c r="C4" s="7">
        <v>0.15</v>
      </c>
    </row>
    <row r="5" spans="1:5" x14ac:dyDescent="0.35">
      <c r="B5" s="8">
        <v>80000</v>
      </c>
      <c r="C5" s="7">
        <v>0.2</v>
      </c>
    </row>
    <row r="6" spans="1:5" x14ac:dyDescent="0.35">
      <c r="B6" s="3" t="s">
        <v>42</v>
      </c>
      <c r="C6" s="9">
        <v>45000</v>
      </c>
      <c r="D6" s="10">
        <f>VLOOKUP(C6,B2:C5,2,TRUE)</f>
        <v>0.1</v>
      </c>
      <c r="E6" s="6" t="str">
        <f ca="1">_xlfn.FORMULATEXT(D6)</f>
        <v>=VLOOKUP(C6,B2:C5,2,TRUE)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78C2-289F-4D5F-86C9-987E5C7BA234}">
  <dimension ref="A1:F4"/>
  <sheetViews>
    <sheetView tabSelected="1" workbookViewId="0">
      <selection activeCell="C4" sqref="C4"/>
    </sheetView>
  </sheetViews>
  <sheetFormatPr defaultRowHeight="14.5" x14ac:dyDescent="0.35"/>
  <cols>
    <col min="2" max="2" width="12.81640625" bestFit="1" customWidth="1"/>
    <col min="3" max="3" width="11.08984375" bestFit="1" customWidth="1"/>
    <col min="4" max="4" width="12.1796875" bestFit="1" customWidth="1"/>
    <col min="5" max="5" width="10.6328125" bestFit="1" customWidth="1"/>
    <col min="6" max="6" width="25.6328125" bestFit="1" customWidth="1"/>
  </cols>
  <sheetData>
    <row r="1" spans="1:6" ht="29" x14ac:dyDescent="0.35">
      <c r="A1" s="3" t="s">
        <v>43</v>
      </c>
      <c r="B1" s="5" t="s">
        <v>45</v>
      </c>
      <c r="C1" s="5" t="s">
        <v>46</v>
      </c>
      <c r="D1" s="5" t="s">
        <v>47</v>
      </c>
      <c r="E1" s="2" t="s">
        <v>51</v>
      </c>
      <c r="F1" s="4" t="s">
        <v>52</v>
      </c>
    </row>
    <row r="2" spans="1:6" x14ac:dyDescent="0.35">
      <c r="B2" s="5" t="s">
        <v>48</v>
      </c>
      <c r="C2" s="5">
        <v>10</v>
      </c>
      <c r="D2" s="5">
        <v>12</v>
      </c>
      <c r="E2" s="2" t="str">
        <f>IF(C2&gt;D2,"Exceeded","OK")</f>
        <v>OK</v>
      </c>
      <c r="F2" s="6" t="str">
        <f ca="1">_xlfn.FORMULATEXT(E2)</f>
        <v>=IF(C2&gt;D2,"Exceeded","OK")</v>
      </c>
    </row>
    <row r="3" spans="1:6" x14ac:dyDescent="0.35">
      <c r="B3" s="5" t="s">
        <v>49</v>
      </c>
      <c r="C3" s="5">
        <v>10</v>
      </c>
      <c r="D3" s="5">
        <v>15</v>
      </c>
      <c r="E3" s="2" t="str">
        <f>IF(C3&gt;D3,"Exceeded","OK")</f>
        <v>OK</v>
      </c>
      <c r="F3" s="6" t="str">
        <f ca="1">_xlfn.FORMULATEXT(E3)</f>
        <v>=IF(C3&gt;D3,"Exceeded","OK")</v>
      </c>
    </row>
    <row r="4" spans="1:6" x14ac:dyDescent="0.35">
      <c r="B4" s="5" t="s">
        <v>50</v>
      </c>
      <c r="C4" s="5">
        <v>8</v>
      </c>
      <c r="D4" s="5">
        <v>12</v>
      </c>
      <c r="E4" s="2" t="str">
        <f>IF(C4&gt;D4,"Exceeded","OK")</f>
        <v>OK</v>
      </c>
      <c r="F4" s="6" t="str">
        <f ca="1">_xlfn.FORMULATEXT(E4)</f>
        <v>=IF(C4&gt;D4,"Exceeded","OK")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E390-752C-408E-9096-B2E7D40D4D3C}">
  <dimension ref="A1:E5"/>
  <sheetViews>
    <sheetView workbookViewId="0">
      <selection activeCell="E3" sqref="E3"/>
    </sheetView>
  </sheetViews>
  <sheetFormatPr defaultRowHeight="14.5" x14ac:dyDescent="0.35"/>
  <cols>
    <col min="4" max="4" width="6.6328125" bestFit="1" customWidth="1"/>
    <col min="5" max="5" width="31.1796875" bestFit="1" customWidth="1"/>
  </cols>
  <sheetData>
    <row r="1" spans="1:5" x14ac:dyDescent="0.35">
      <c r="A1" s="3" t="s">
        <v>53</v>
      </c>
      <c r="B1" s="5" t="s">
        <v>27</v>
      </c>
      <c r="C1" s="5" t="s">
        <v>54</v>
      </c>
      <c r="D1" s="2" t="s">
        <v>57</v>
      </c>
      <c r="E1" s="2" t="s">
        <v>58</v>
      </c>
    </row>
    <row r="2" spans="1:5" x14ac:dyDescent="0.35">
      <c r="B2" s="5" t="s">
        <v>32</v>
      </c>
      <c r="C2" s="5">
        <v>41000</v>
      </c>
      <c r="D2" s="2" t="s">
        <v>55</v>
      </c>
      <c r="E2" s="2">
        <f>INDEX(C2:C5,MATCH(D2,B2:B5,0))</f>
        <v>72000</v>
      </c>
    </row>
    <row r="3" spans="1:5" x14ac:dyDescent="0.35">
      <c r="B3" s="5" t="s">
        <v>37</v>
      </c>
      <c r="C3" s="5">
        <v>55000</v>
      </c>
      <c r="D3" s="2"/>
      <c r="E3" s="2" t="str">
        <f ca="1">_xlfn.FORMULATEXT(E2)</f>
        <v>=INDEX(C2:C5,MATCH(D2,B2:B5,0))</v>
      </c>
    </row>
    <row r="4" spans="1:5" x14ac:dyDescent="0.35">
      <c r="B4" s="5" t="s">
        <v>55</v>
      </c>
      <c r="C4" s="5">
        <v>72000</v>
      </c>
    </row>
    <row r="5" spans="1:5" x14ac:dyDescent="0.35">
      <c r="B5" s="5" t="s">
        <v>56</v>
      </c>
      <c r="C5" s="5">
        <v>62000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00F7-7B42-46F7-A96E-27DB253D0408}">
  <dimension ref="A1:F5"/>
  <sheetViews>
    <sheetView workbookViewId="0">
      <selection activeCell="E2" sqref="E2"/>
    </sheetView>
  </sheetViews>
  <sheetFormatPr defaultRowHeight="14.5" x14ac:dyDescent="0.35"/>
  <cols>
    <col min="3" max="3" width="11.08984375" customWidth="1"/>
    <col min="4" max="4" width="6.453125" bestFit="1" customWidth="1"/>
    <col min="5" max="5" width="7" customWidth="1"/>
  </cols>
  <sheetData>
    <row r="1" spans="1:6" x14ac:dyDescent="0.35">
      <c r="A1" s="3" t="s">
        <v>59</v>
      </c>
      <c r="B1" s="5" t="s">
        <v>27</v>
      </c>
      <c r="C1" s="5" t="s">
        <v>29</v>
      </c>
      <c r="D1" s="2" t="s">
        <v>57</v>
      </c>
      <c r="E1" s="6"/>
    </row>
    <row r="2" spans="1:6" x14ac:dyDescent="0.35">
      <c r="B2" s="5" t="s">
        <v>30</v>
      </c>
      <c r="C2" s="5" t="s">
        <v>33</v>
      </c>
      <c r="D2" s="6" t="s">
        <v>60</v>
      </c>
      <c r="E2" s="6" t="str">
        <f>_xlfn.XLOOKUP(D2,B2:B5,C2:C5,"Not Found")</f>
        <v>IT</v>
      </c>
      <c r="F2" t="str">
        <f ca="1">_xlfn.FORMULATEXT(E2)</f>
        <v>=XLOOKUP(D2,B2:B5,C2:C5,"Not Found")</v>
      </c>
    </row>
    <row r="3" spans="1:6" x14ac:dyDescent="0.35">
      <c r="B3" s="5" t="s">
        <v>60</v>
      </c>
      <c r="C3" s="5" t="s">
        <v>31</v>
      </c>
    </row>
    <row r="4" spans="1:6" x14ac:dyDescent="0.35">
      <c r="B4" s="5" t="s">
        <v>56</v>
      </c>
      <c r="C4" s="5" t="s">
        <v>16</v>
      </c>
    </row>
    <row r="5" spans="1:6" x14ac:dyDescent="0.35">
      <c r="B5" s="5" t="s">
        <v>61</v>
      </c>
      <c r="C5" s="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kankani</dc:creator>
  <cp:lastModifiedBy>zaid multani</cp:lastModifiedBy>
  <dcterms:created xsi:type="dcterms:W3CDTF">2026-02-10T06:48:10Z</dcterms:created>
  <dcterms:modified xsi:type="dcterms:W3CDTF">2026-02-11T21:56:50Z</dcterms:modified>
</cp:coreProperties>
</file>